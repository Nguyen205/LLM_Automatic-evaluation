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ijia2\Desktop\10runs_LLM\Figure\"/>
    </mc:Choice>
  </mc:AlternateContent>
  <xr:revisionPtr revIDLastSave="0" documentId="13_ncr:1_{999CA0D6-4388-4469-812D-42EC80A7E5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Accuracy" sheetId="2" r:id="rId2"/>
    <sheet name="Consistenc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D32" i="2"/>
  <c r="E32" i="2"/>
  <c r="F32" i="2"/>
  <c r="G32" i="2"/>
  <c r="H32" i="2"/>
  <c r="I32" i="2"/>
  <c r="J32" i="2"/>
  <c r="B32" i="2"/>
  <c r="C16" i="2"/>
  <c r="D16" i="2"/>
  <c r="E16" i="2"/>
  <c r="F16" i="2"/>
  <c r="G16" i="2"/>
  <c r="H16" i="2"/>
  <c r="I16" i="2"/>
  <c r="J16" i="2"/>
  <c r="B16" i="2"/>
  <c r="C29" i="3"/>
  <c r="D29" i="3"/>
  <c r="E29" i="3"/>
  <c r="F29" i="3"/>
  <c r="G29" i="3"/>
  <c r="H29" i="3"/>
  <c r="I29" i="3"/>
  <c r="J29" i="3"/>
  <c r="B29" i="3"/>
  <c r="B13" i="3"/>
  <c r="B14" i="3" s="1"/>
  <c r="C14" i="3"/>
  <c r="D14" i="3"/>
  <c r="E14" i="3"/>
  <c r="F14" i="3"/>
  <c r="G14" i="3"/>
  <c r="H14" i="3"/>
  <c r="I14" i="3"/>
  <c r="J14" i="3"/>
  <c r="D28" i="3"/>
  <c r="C28" i="3"/>
  <c r="E28" i="3"/>
  <c r="F28" i="3"/>
  <c r="G28" i="3"/>
  <c r="H28" i="3"/>
  <c r="I28" i="3"/>
  <c r="J28" i="3"/>
  <c r="B28" i="3"/>
  <c r="B27" i="3"/>
  <c r="C27" i="3"/>
  <c r="D27" i="3"/>
  <c r="E27" i="3"/>
  <c r="F27" i="3"/>
  <c r="G27" i="3"/>
  <c r="H27" i="3"/>
  <c r="I27" i="3"/>
  <c r="J27" i="3"/>
  <c r="C13" i="3"/>
  <c r="D13" i="3"/>
  <c r="E13" i="3"/>
  <c r="F13" i="3"/>
  <c r="G13" i="3"/>
  <c r="H13" i="3"/>
  <c r="I13" i="3"/>
  <c r="J13" i="3"/>
  <c r="C12" i="3"/>
  <c r="D12" i="3"/>
  <c r="E12" i="3"/>
  <c r="F12" i="3"/>
  <c r="G12" i="3"/>
  <c r="H12" i="3"/>
  <c r="I12" i="3"/>
  <c r="J12" i="3"/>
  <c r="B12" i="3"/>
  <c r="C31" i="2"/>
  <c r="D31" i="2"/>
  <c r="E31" i="2"/>
  <c r="F31" i="2"/>
  <c r="G31" i="2"/>
  <c r="H31" i="2"/>
  <c r="I31" i="2"/>
  <c r="J31" i="2"/>
  <c r="B31" i="2"/>
  <c r="B15" i="2"/>
  <c r="E30" i="2"/>
  <c r="D30" i="2"/>
  <c r="C30" i="2"/>
  <c r="F30" i="2"/>
  <c r="G30" i="2"/>
  <c r="H30" i="2"/>
  <c r="I30" i="2"/>
  <c r="J30" i="2"/>
  <c r="B30" i="2"/>
  <c r="B14" i="2"/>
  <c r="I15" i="2"/>
  <c r="J14" i="2"/>
  <c r="J15" i="2" s="1"/>
  <c r="C14" i="2"/>
  <c r="C15" i="2" s="1"/>
  <c r="D14" i="2"/>
  <c r="D15" i="2" s="1"/>
  <c r="E14" i="2"/>
  <c r="E15" i="2" s="1"/>
  <c r="F14" i="2"/>
  <c r="F15" i="2" s="1"/>
  <c r="G14" i="2"/>
  <c r="G15" i="2" s="1"/>
  <c r="H14" i="2"/>
  <c r="H15" i="2" s="1"/>
  <c r="I14" i="2"/>
</calcChain>
</file>

<file path=xl/sharedStrings.xml><?xml version="1.0" encoding="utf-8"?>
<sst xmlns="http://schemas.openxmlformats.org/spreadsheetml/2006/main" count="155" uniqueCount="25">
  <si>
    <t>Overall_Accuracy</t>
  </si>
  <si>
    <t>Overall_Consistency</t>
  </si>
  <si>
    <t>NSD</t>
  </si>
  <si>
    <t>IAQ</t>
  </si>
  <si>
    <t>Claude</t>
  </si>
  <si>
    <t>Deepseek</t>
  </si>
  <si>
    <t>ERNIE</t>
  </si>
  <si>
    <t>Gemini</t>
  </si>
  <si>
    <t>GPT</t>
  </si>
  <si>
    <t>Grok3</t>
  </si>
  <si>
    <t>Llama</t>
  </si>
  <si>
    <t>Mistral</t>
  </si>
  <si>
    <t>Qwen3</t>
  </si>
  <si>
    <t>average</t>
  </si>
  <si>
    <t>st</t>
  </si>
  <si>
    <t>Model</t>
  </si>
  <si>
    <t>Shapiro_IAQ_p</t>
  </si>
  <si>
    <t>Shapiro_NSD_p</t>
  </si>
  <si>
    <t>Normal_both</t>
  </si>
  <si>
    <t>Test_used</t>
  </si>
  <si>
    <t>Statistic</t>
  </si>
  <si>
    <t>P_value</t>
  </si>
  <si>
    <t>Mann-Whitney U (one-sided)</t>
  </si>
  <si>
    <t>Welch t-test (one-sided)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</si>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</sst>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/>
    <xf numFmtId="10" fontId="0" fillId="0" borderId="0" xfId="1" applyNumberFormat="1" applyFont="1" applyFill="1"/>
    <xf numFmtId="0" fontId="0" fillId="0" borderId="0" xfId="0" applyAlignment="1">
      <alignment horizont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M37" sqref="M37"/>
    </sheetView>
  </sheetViews>
  <sheetFormatPr defaultRowHeight="15"/>
  <sheetData>
    <row r="1" spans="1:18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>
      <c r="A3" s="1" t="s">
        <v>0</v>
      </c>
      <c r="B3" s="1" t="s">
        <v>1</v>
      </c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</row>
    <row r="4" spans="1:18">
      <c r="A4">
        <v>0.81379310344827582</v>
      </c>
      <c r="B4">
        <v>0.91034482758620672</v>
      </c>
      <c r="C4">
        <v>0.81494252873563222</v>
      </c>
      <c r="D4">
        <v>0.87931034482758619</v>
      </c>
      <c r="E4">
        <v>0.80114942528735633</v>
      </c>
      <c r="F4">
        <v>0.89770114942528734</v>
      </c>
      <c r="G4">
        <v>0.7931034482758621</v>
      </c>
      <c r="H4">
        <v>0.92183908045977003</v>
      </c>
      <c r="I4">
        <v>0.84022988505747132</v>
      </c>
      <c r="J4">
        <v>0.91724137931034477</v>
      </c>
      <c r="K4">
        <v>0.80689655172413788</v>
      </c>
      <c r="L4">
        <v>0.92528735632183912</v>
      </c>
      <c r="M4">
        <v>0.82183908045977017</v>
      </c>
      <c r="N4">
        <v>0.92298850574712643</v>
      </c>
      <c r="O4">
        <v>0.87011494252873567</v>
      </c>
      <c r="P4">
        <v>0.91724137931034477</v>
      </c>
      <c r="Q4">
        <v>0.80804597701149428</v>
      </c>
      <c r="R4">
        <v>0.90689655172413786</v>
      </c>
    </row>
    <row r="5" spans="1:18">
      <c r="A5">
        <v>0.81034482758620685</v>
      </c>
      <c r="B5">
        <v>0.8999999999999998</v>
      </c>
      <c r="C5">
        <v>0.82068965517241377</v>
      </c>
      <c r="D5">
        <v>0.8885057471264366</v>
      </c>
      <c r="E5">
        <v>0.77701149425287352</v>
      </c>
      <c r="F5">
        <v>0.88735632183908031</v>
      </c>
      <c r="G5">
        <v>0.79770114942528736</v>
      </c>
      <c r="H5">
        <v>0.9022988505747126</v>
      </c>
      <c r="I5">
        <v>0.83218390804597697</v>
      </c>
      <c r="J5">
        <v>0.90919540229885054</v>
      </c>
      <c r="K5">
        <v>0.81264367816091954</v>
      </c>
      <c r="L5">
        <v>0.92068965517241375</v>
      </c>
      <c r="M5">
        <v>0.80689655172413788</v>
      </c>
      <c r="N5">
        <v>0.89770114942528734</v>
      </c>
      <c r="O5">
        <v>0.828735632183908</v>
      </c>
      <c r="P5">
        <v>0.89655172413793105</v>
      </c>
      <c r="Q5">
        <v>0.79540229885057467</v>
      </c>
      <c r="R5">
        <v>0.88275862068965494</v>
      </c>
    </row>
    <row r="6" spans="1:18">
      <c r="A6">
        <v>0.87126436781609196</v>
      </c>
      <c r="B6">
        <v>0.91724137931034477</v>
      </c>
      <c r="C6">
        <v>0.85287356321839081</v>
      </c>
      <c r="D6">
        <v>0.88965517241379322</v>
      </c>
      <c r="E6">
        <v>0.8413793103448276</v>
      </c>
      <c r="F6">
        <v>0.90114942528735642</v>
      </c>
      <c r="G6">
        <v>0.84597701149425286</v>
      </c>
      <c r="H6">
        <v>0.92413793103448283</v>
      </c>
      <c r="I6">
        <v>0.87586206896551722</v>
      </c>
      <c r="J6">
        <v>0.92183908045977003</v>
      </c>
      <c r="K6">
        <v>0.86206896551724133</v>
      </c>
      <c r="L6">
        <v>0.93678160919540232</v>
      </c>
      <c r="M6">
        <v>0.84482758620689657</v>
      </c>
      <c r="N6">
        <v>0.92643678160919529</v>
      </c>
      <c r="O6">
        <v>0.87586206896551722</v>
      </c>
      <c r="P6">
        <v>0.91839080459770106</v>
      </c>
      <c r="Q6">
        <v>0.86206896551724133</v>
      </c>
      <c r="R6">
        <v>0.91149425287356323</v>
      </c>
    </row>
    <row r="7" spans="1:18">
      <c r="A7">
        <v>0.92068965517241375</v>
      </c>
      <c r="B7">
        <v>0.95632183908045976</v>
      </c>
      <c r="C7">
        <v>0.91724137931034477</v>
      </c>
      <c r="D7">
        <v>0.93448275862068975</v>
      </c>
      <c r="E7">
        <v>0.91839080459770117</v>
      </c>
      <c r="F7">
        <v>0.94597701149425284</v>
      </c>
      <c r="G7">
        <v>0.90689655172413797</v>
      </c>
      <c r="H7">
        <v>0.94367816091954015</v>
      </c>
      <c r="I7">
        <v>0.92298850574712643</v>
      </c>
      <c r="J7">
        <v>0.95747126436781604</v>
      </c>
      <c r="K7">
        <v>0.91264367816091951</v>
      </c>
      <c r="L7">
        <v>0.9517241379310345</v>
      </c>
      <c r="M7">
        <v>0.9149425287356322</v>
      </c>
      <c r="N7">
        <v>0.94482758620689655</v>
      </c>
      <c r="O7">
        <v>0.94942528735632181</v>
      </c>
      <c r="P7">
        <v>0.96091954022988502</v>
      </c>
      <c r="Q7">
        <v>0.92183908045977014</v>
      </c>
      <c r="R7">
        <v>0.94712643678160913</v>
      </c>
    </row>
    <row r="8" spans="1:18">
      <c r="A8">
        <v>0.63563218390804599</v>
      </c>
      <c r="B8">
        <v>0.83103448275862046</v>
      </c>
      <c r="C8">
        <v>0.68505747126436778</v>
      </c>
      <c r="D8">
        <v>0.83793103448275852</v>
      </c>
      <c r="E8">
        <v>0.60344827586206895</v>
      </c>
      <c r="F8">
        <v>0.84482758620689635</v>
      </c>
      <c r="G8">
        <v>0.62758620689655176</v>
      </c>
      <c r="H8">
        <v>0.85862068965517224</v>
      </c>
      <c r="I8">
        <v>0.66321839080459766</v>
      </c>
      <c r="J8">
        <v>0.84367816091954029</v>
      </c>
      <c r="K8">
        <v>0.6586206896551724</v>
      </c>
      <c r="L8">
        <v>0.87471264367816082</v>
      </c>
      <c r="M8">
        <v>0.61839080459770113</v>
      </c>
      <c r="N8">
        <v>0.87011494252873545</v>
      </c>
      <c r="O8">
        <v>0.64712643678160919</v>
      </c>
      <c r="P8">
        <v>0.83678160919540212</v>
      </c>
      <c r="Q8">
        <v>0.64597701149425291</v>
      </c>
      <c r="R8">
        <v>0.84942528735632195</v>
      </c>
    </row>
    <row r="9" spans="1:18">
      <c r="A9">
        <v>0.87011494252873567</v>
      </c>
      <c r="B9">
        <v>0.91494252873563209</v>
      </c>
      <c r="C9">
        <v>0.84942528735632183</v>
      </c>
      <c r="D9">
        <v>0.88965517241379322</v>
      </c>
      <c r="E9">
        <v>0.83908045977011492</v>
      </c>
      <c r="F9">
        <v>0.9022988505747126</v>
      </c>
      <c r="G9">
        <v>0.8413793103448276</v>
      </c>
      <c r="H9">
        <v>0.911494252873563</v>
      </c>
      <c r="I9">
        <v>0.88850574712643682</v>
      </c>
      <c r="J9">
        <v>0.94022988505747118</v>
      </c>
      <c r="K9">
        <v>0.84022988505747132</v>
      </c>
      <c r="L9">
        <v>0.93908045977011501</v>
      </c>
      <c r="M9">
        <v>0.85862068965517246</v>
      </c>
      <c r="N9">
        <v>0.94137931034482747</v>
      </c>
      <c r="O9">
        <v>0.89655172413793105</v>
      </c>
      <c r="P9">
        <v>0.93218390804597695</v>
      </c>
      <c r="Q9">
        <v>0.83678160919540234</v>
      </c>
      <c r="R9">
        <v>0.90804597701149425</v>
      </c>
    </row>
    <row r="10" spans="1:18">
      <c r="A10">
        <v>0.84712643678160915</v>
      </c>
      <c r="B10">
        <v>0.91379310344827591</v>
      </c>
      <c r="C10">
        <v>0.84827586206896555</v>
      </c>
      <c r="D10">
        <v>0.89655172413793083</v>
      </c>
      <c r="E10">
        <v>0.81034482758620685</v>
      </c>
      <c r="F10">
        <v>0.88620689655172402</v>
      </c>
      <c r="G10">
        <v>0.83448275862068966</v>
      </c>
      <c r="H10">
        <v>0.91264367816091962</v>
      </c>
      <c r="I10">
        <v>0.8655172413793103</v>
      </c>
      <c r="J10">
        <v>0.93103448275862066</v>
      </c>
      <c r="K10">
        <v>0.84827586206896555</v>
      </c>
      <c r="L10">
        <v>0.93793103448275861</v>
      </c>
      <c r="M10">
        <v>0.828735632183908</v>
      </c>
      <c r="N10">
        <v>0.92068965517241375</v>
      </c>
      <c r="O10">
        <v>0.84942528735632183</v>
      </c>
      <c r="P10">
        <v>0.8999999999999998</v>
      </c>
      <c r="Q10">
        <v>0.82183908045977017</v>
      </c>
      <c r="R10">
        <v>0.90459770114942517</v>
      </c>
    </row>
    <row r="11" spans="1:18">
      <c r="A11">
        <v>0.87241379310344824</v>
      </c>
      <c r="B11">
        <v>0.93448275862068964</v>
      </c>
      <c r="C11">
        <v>0.89195402298850579</v>
      </c>
      <c r="D11">
        <v>0.91494252873563209</v>
      </c>
      <c r="E11">
        <v>0.87126436781609196</v>
      </c>
      <c r="F11">
        <v>0.92183908045977003</v>
      </c>
      <c r="G11">
        <v>0.89310344827586208</v>
      </c>
      <c r="H11">
        <v>0.93908045977011478</v>
      </c>
      <c r="I11">
        <v>0.90344827586206899</v>
      </c>
      <c r="J11">
        <v>0.95172413793103461</v>
      </c>
      <c r="K11">
        <v>0.87356321839080464</v>
      </c>
      <c r="L11">
        <v>0.94712643678160913</v>
      </c>
      <c r="M11">
        <v>0.87586206896551722</v>
      </c>
      <c r="N11">
        <v>0.92873563218390787</v>
      </c>
      <c r="O11">
        <v>0.89080459770114939</v>
      </c>
      <c r="P11">
        <v>0.92068965517241375</v>
      </c>
      <c r="Q11">
        <v>0.87931034482758619</v>
      </c>
      <c r="R11">
        <v>0.92873563218390798</v>
      </c>
    </row>
    <row r="12" spans="1:18">
      <c r="A12">
        <v>0.87241379310344824</v>
      </c>
      <c r="B12">
        <v>0.92758620689655158</v>
      </c>
      <c r="C12">
        <v>0.89080459770114939</v>
      </c>
      <c r="D12">
        <v>0.91379310344827569</v>
      </c>
      <c r="E12">
        <v>0.87701149425287361</v>
      </c>
      <c r="F12">
        <v>0.91954022988505746</v>
      </c>
      <c r="G12">
        <v>0.89080459770114939</v>
      </c>
      <c r="H12">
        <v>0.93218390804597695</v>
      </c>
      <c r="I12">
        <v>0.90459770114942528</v>
      </c>
      <c r="J12">
        <v>0.94022988505747118</v>
      </c>
      <c r="K12">
        <v>0.87011494252873567</v>
      </c>
      <c r="L12">
        <v>0.92873563218390787</v>
      </c>
      <c r="M12">
        <v>0.88160919540229887</v>
      </c>
      <c r="N12">
        <v>0.92873563218390798</v>
      </c>
      <c r="O12">
        <v>0.92183908045977014</v>
      </c>
      <c r="P12">
        <v>0.93563218390804592</v>
      </c>
      <c r="Q12">
        <v>0.8896551724137931</v>
      </c>
      <c r="R12">
        <v>0.91609195402298849</v>
      </c>
    </row>
    <row r="13" spans="1:18">
      <c r="A13">
        <v>0.84022988505747132</v>
      </c>
      <c r="B13">
        <v>0.91839080459770117</v>
      </c>
      <c r="C13">
        <v>0.8298850574712644</v>
      </c>
      <c r="D13">
        <v>0.88045977011494247</v>
      </c>
      <c r="E13">
        <v>0.79655172413793107</v>
      </c>
      <c r="F13">
        <v>0.89195402298850568</v>
      </c>
      <c r="G13">
        <v>0.8172413793103448</v>
      </c>
      <c r="H13">
        <v>0.90919540229885054</v>
      </c>
      <c r="I13">
        <v>0.87011494252873567</v>
      </c>
      <c r="J13">
        <v>0.92413793103448261</v>
      </c>
      <c r="K13">
        <v>0.81954022988505748</v>
      </c>
      <c r="L13">
        <v>0.93333333333333324</v>
      </c>
      <c r="M13">
        <v>0.82643678160919543</v>
      </c>
      <c r="N13">
        <v>0.91839080459770117</v>
      </c>
      <c r="O13">
        <v>0.86321839080459772</v>
      </c>
      <c r="P13">
        <v>0.91379310344827591</v>
      </c>
      <c r="Q13">
        <v>0.81954022988505748</v>
      </c>
      <c r="R13">
        <v>0.90804597701149425</v>
      </c>
    </row>
    <row r="15" spans="1:18">
      <c r="A15" s="6" t="s">
        <v>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7" spans="1:18">
      <c r="A17" s="2" t="s">
        <v>0</v>
      </c>
      <c r="B17" s="2" t="s">
        <v>1</v>
      </c>
      <c r="C17" s="2" t="s">
        <v>0</v>
      </c>
      <c r="D17" s="2" t="s">
        <v>1</v>
      </c>
      <c r="E17" s="2" t="s">
        <v>0</v>
      </c>
      <c r="F17" s="2" t="s">
        <v>1</v>
      </c>
      <c r="G17" s="2" t="s">
        <v>0</v>
      </c>
      <c r="H17" s="2" t="s">
        <v>1</v>
      </c>
      <c r="I17" s="2" t="s">
        <v>0</v>
      </c>
      <c r="J17" s="2" t="s">
        <v>1</v>
      </c>
      <c r="K17" s="2" t="s">
        <v>0</v>
      </c>
      <c r="L17" s="2" t="s">
        <v>1</v>
      </c>
      <c r="M17" s="2" t="s">
        <v>0</v>
      </c>
      <c r="N17" s="2" t="s">
        <v>1</v>
      </c>
      <c r="O17" s="2" t="s">
        <v>0</v>
      </c>
      <c r="P17" s="2" t="s">
        <v>1</v>
      </c>
      <c r="Q17" s="2" t="s">
        <v>0</v>
      </c>
      <c r="R17" s="2" t="s">
        <v>1</v>
      </c>
    </row>
    <row r="18" spans="1:18">
      <c r="A18">
        <v>0.84022988505747132</v>
      </c>
      <c r="B18">
        <v>0.9011494252873562</v>
      </c>
      <c r="C18">
        <v>0.81494252873563222</v>
      </c>
      <c r="D18">
        <v>0.87356321839080464</v>
      </c>
      <c r="E18">
        <v>0.82643678160919543</v>
      </c>
      <c r="F18">
        <v>0.88160919540229876</v>
      </c>
      <c r="G18">
        <v>0.81379310344827582</v>
      </c>
      <c r="H18">
        <v>0.88850574712643671</v>
      </c>
      <c r="I18">
        <v>0.85517241379310349</v>
      </c>
      <c r="J18">
        <v>0.91379310344827591</v>
      </c>
      <c r="K18">
        <v>0.85172413793103452</v>
      </c>
      <c r="L18">
        <v>0.9126436781609194</v>
      </c>
      <c r="M18">
        <v>0.84712643678160915</v>
      </c>
      <c r="N18">
        <v>0.92183908045977003</v>
      </c>
      <c r="O18">
        <v>0.8666666666666667</v>
      </c>
      <c r="P18">
        <v>0.92643678160919529</v>
      </c>
      <c r="Q18">
        <v>0.84367816091954018</v>
      </c>
      <c r="R18">
        <v>0.90574712643678146</v>
      </c>
    </row>
    <row r="19" spans="1:18">
      <c r="A19">
        <v>0.83908045977011492</v>
      </c>
      <c r="B19">
        <v>0.91149425287356323</v>
      </c>
      <c r="C19">
        <v>0.8655172413793103</v>
      </c>
      <c r="D19">
        <v>0.8999999999999998</v>
      </c>
      <c r="E19">
        <v>0.87586206896551722</v>
      </c>
      <c r="F19">
        <v>0.93333333333333324</v>
      </c>
      <c r="G19">
        <v>0.84942528735632183</v>
      </c>
      <c r="H19">
        <v>0.90919540229885054</v>
      </c>
      <c r="I19">
        <v>0.87701149425287361</v>
      </c>
      <c r="J19">
        <v>0.93103448275862066</v>
      </c>
      <c r="K19">
        <v>0.86781609195402298</v>
      </c>
      <c r="L19">
        <v>0.92298850574712643</v>
      </c>
      <c r="M19">
        <v>0.8655172413793103</v>
      </c>
      <c r="N19">
        <v>0.93218390804597695</v>
      </c>
      <c r="O19">
        <v>0.88505747126436785</v>
      </c>
      <c r="P19">
        <v>0.92643678160919529</v>
      </c>
      <c r="Q19">
        <v>0.86896551724137927</v>
      </c>
      <c r="R19">
        <v>0.91954022988505735</v>
      </c>
    </row>
    <row r="20" spans="1:18">
      <c r="A20">
        <v>0.76206896551724135</v>
      </c>
      <c r="B20">
        <v>0.88160919540229876</v>
      </c>
      <c r="C20">
        <v>0.7183908045977011</v>
      </c>
      <c r="D20">
        <v>0.84712643678160904</v>
      </c>
      <c r="E20">
        <v>0.75862068965517238</v>
      </c>
      <c r="F20">
        <v>0.8643678160919539</v>
      </c>
      <c r="G20">
        <v>0.75747126436781609</v>
      </c>
      <c r="H20">
        <v>0.89195402298850568</v>
      </c>
      <c r="I20">
        <v>0.80574712643678159</v>
      </c>
      <c r="J20">
        <v>0.89080459770114939</v>
      </c>
      <c r="K20">
        <v>0.78505747126436787</v>
      </c>
      <c r="L20">
        <v>0.90574712643678157</v>
      </c>
      <c r="M20">
        <v>0.77816091954022992</v>
      </c>
      <c r="N20">
        <v>0.89425287356321814</v>
      </c>
      <c r="O20">
        <v>0.81149425287356325</v>
      </c>
      <c r="P20">
        <v>0.89655172413793105</v>
      </c>
      <c r="Q20">
        <v>0.78620689655172415</v>
      </c>
      <c r="R20">
        <v>0.88505747126436785</v>
      </c>
    </row>
    <row r="21" spans="1:18">
      <c r="A21">
        <v>0.77241379310344827</v>
      </c>
      <c r="B21">
        <v>0.88275862068965516</v>
      </c>
      <c r="C21">
        <v>0.78275862068965518</v>
      </c>
      <c r="D21">
        <v>0.86551724137931019</v>
      </c>
      <c r="E21">
        <v>0.8045977011494253</v>
      </c>
      <c r="F21">
        <v>0.88390804597701145</v>
      </c>
      <c r="G21">
        <v>0.78275862068965518</v>
      </c>
      <c r="H21">
        <v>0.88620689655172402</v>
      </c>
      <c r="I21">
        <v>0.80689655172413788</v>
      </c>
      <c r="J21">
        <v>0.89540229885057465</v>
      </c>
      <c r="K21">
        <v>0.81149425287356325</v>
      </c>
      <c r="L21">
        <v>0.90459770114942528</v>
      </c>
      <c r="M21">
        <v>0.7563218390804598</v>
      </c>
      <c r="N21">
        <v>0.89425287356321814</v>
      </c>
      <c r="O21">
        <v>0.76436781609195403</v>
      </c>
      <c r="P21">
        <v>0.90344827586206888</v>
      </c>
      <c r="Q21">
        <v>0.7919540229885057</v>
      </c>
      <c r="R21">
        <v>0.89885057471264351</v>
      </c>
    </row>
    <row r="22" spans="1:18">
      <c r="A22">
        <v>0.89080459770114939</v>
      </c>
      <c r="B22">
        <v>0.92528735632183912</v>
      </c>
      <c r="C22">
        <v>0.91379310344827591</v>
      </c>
      <c r="D22">
        <v>0.92643678160919529</v>
      </c>
      <c r="E22">
        <v>0.90804597701149425</v>
      </c>
      <c r="F22">
        <v>0.94137931034482747</v>
      </c>
      <c r="G22">
        <v>0.89770114942528734</v>
      </c>
      <c r="H22">
        <v>0.92873563218390787</v>
      </c>
      <c r="I22">
        <v>0.9149425287356322</v>
      </c>
      <c r="J22">
        <v>0.92643678160919529</v>
      </c>
      <c r="K22">
        <v>0.89885057471264362</v>
      </c>
      <c r="L22">
        <v>0.94252873563218387</v>
      </c>
      <c r="M22">
        <v>0.89310344827586208</v>
      </c>
      <c r="N22">
        <v>0.93103448275862066</v>
      </c>
      <c r="O22">
        <v>0.9</v>
      </c>
      <c r="P22">
        <v>0.92758620689655158</v>
      </c>
      <c r="Q22">
        <v>0.89885057471264362</v>
      </c>
      <c r="R22">
        <v>0.93333333333333335</v>
      </c>
    </row>
    <row r="23" spans="1:18">
      <c r="A23">
        <v>0.90919540229885054</v>
      </c>
      <c r="B23">
        <v>0.9275862068965518</v>
      </c>
      <c r="C23">
        <v>0.9022988505747126</v>
      </c>
      <c r="D23">
        <v>0.92413793103448283</v>
      </c>
      <c r="E23">
        <v>0.91954022988505746</v>
      </c>
      <c r="F23">
        <v>0.93793103448275861</v>
      </c>
      <c r="G23">
        <v>0.89195402298850579</v>
      </c>
      <c r="H23">
        <v>0.92643678160919529</v>
      </c>
      <c r="I23">
        <v>0.91724137931034477</v>
      </c>
      <c r="J23">
        <v>0.93678160919540232</v>
      </c>
      <c r="K23">
        <v>0.90919540229885054</v>
      </c>
      <c r="L23">
        <v>0.9402298850574714</v>
      </c>
      <c r="M23">
        <v>0.9022988505747126</v>
      </c>
      <c r="N23">
        <v>0.93678160919540232</v>
      </c>
      <c r="O23">
        <v>0.92758620689655169</v>
      </c>
      <c r="P23">
        <v>0.94022988505747107</v>
      </c>
      <c r="Q23">
        <v>0.91724137931034477</v>
      </c>
      <c r="R23">
        <v>0.94482758620689644</v>
      </c>
    </row>
    <row r="24" spans="1:18">
      <c r="A24">
        <v>0.86321839080459772</v>
      </c>
      <c r="B24">
        <v>0.92068965517241375</v>
      </c>
      <c r="C24">
        <v>0.86436781609195401</v>
      </c>
      <c r="D24">
        <v>0.90919540229885054</v>
      </c>
      <c r="E24">
        <v>0.8896551724137931</v>
      </c>
      <c r="F24">
        <v>0.93563218390804603</v>
      </c>
      <c r="G24">
        <v>0.86896551724137927</v>
      </c>
      <c r="H24">
        <v>0.92873563218390787</v>
      </c>
      <c r="I24">
        <v>0.9022988505747126</v>
      </c>
      <c r="J24">
        <v>0.94137931034482747</v>
      </c>
      <c r="K24">
        <v>0.88390804597701145</v>
      </c>
      <c r="L24">
        <v>0.93908045977011478</v>
      </c>
      <c r="M24">
        <v>0.87931034482758619</v>
      </c>
      <c r="N24">
        <v>0.93563218390804592</v>
      </c>
      <c r="O24">
        <v>0.91034482758620694</v>
      </c>
      <c r="P24">
        <v>0.95057471264367799</v>
      </c>
      <c r="Q24">
        <v>0.88390804597701145</v>
      </c>
      <c r="R24">
        <v>0.92758620689655158</v>
      </c>
    </row>
    <row r="25" spans="1:18">
      <c r="A25">
        <v>0.94022988505747129</v>
      </c>
      <c r="B25">
        <v>0.95747126436781604</v>
      </c>
      <c r="C25">
        <v>0.93448275862068964</v>
      </c>
      <c r="D25">
        <v>0.94022988505747118</v>
      </c>
      <c r="E25">
        <v>0.93678160919540232</v>
      </c>
      <c r="F25">
        <v>0.95172413793103461</v>
      </c>
      <c r="G25">
        <v>0.92183908045977014</v>
      </c>
      <c r="H25">
        <v>0.95057471264367799</v>
      </c>
      <c r="I25">
        <v>0.95402298850574707</v>
      </c>
      <c r="J25">
        <v>0.96091954022988502</v>
      </c>
      <c r="K25">
        <v>0.93218390804597706</v>
      </c>
      <c r="L25">
        <v>0.95747126436781604</v>
      </c>
      <c r="M25">
        <v>0.94367816091954027</v>
      </c>
      <c r="N25">
        <v>0.95977011494252873</v>
      </c>
      <c r="O25">
        <v>0.95862068965517244</v>
      </c>
      <c r="P25">
        <v>0.96206896551724141</v>
      </c>
      <c r="Q25">
        <v>0.94597701149425284</v>
      </c>
      <c r="R25">
        <v>0.96091954022988502</v>
      </c>
    </row>
    <row r="26" spans="1:18">
      <c r="A26">
        <v>0.90919540229885054</v>
      </c>
      <c r="B26">
        <v>0.93333333333333324</v>
      </c>
      <c r="C26">
        <v>0.90804597701149425</v>
      </c>
      <c r="D26">
        <v>0.92413793103448283</v>
      </c>
      <c r="E26">
        <v>0.90919540229885054</v>
      </c>
      <c r="F26">
        <v>0.92988505747126426</v>
      </c>
      <c r="G26">
        <v>0.88160919540229887</v>
      </c>
      <c r="H26">
        <v>0.92528735632183912</v>
      </c>
      <c r="I26">
        <v>0.91264367816091951</v>
      </c>
      <c r="J26">
        <v>0.93678160919540232</v>
      </c>
      <c r="K26">
        <v>0.90689655172413797</v>
      </c>
      <c r="L26">
        <v>0.94252873563218387</v>
      </c>
      <c r="M26">
        <v>0.91724137931034477</v>
      </c>
      <c r="N26">
        <v>0.94942528735632181</v>
      </c>
      <c r="O26">
        <v>0.92988505747126438</v>
      </c>
      <c r="P26">
        <v>0.94252873563218387</v>
      </c>
      <c r="Q26">
        <v>0.91609195402298849</v>
      </c>
      <c r="R26">
        <v>0.93908045977011478</v>
      </c>
    </row>
    <row r="27" spans="1:18">
      <c r="A27">
        <v>0.80804597701149428</v>
      </c>
      <c r="B27">
        <v>0.89540229885057476</v>
      </c>
      <c r="C27">
        <v>0.81494252873563222</v>
      </c>
      <c r="D27">
        <v>0.88505747126436785</v>
      </c>
      <c r="E27">
        <v>0.83333333333333337</v>
      </c>
      <c r="F27">
        <v>0.9</v>
      </c>
      <c r="G27">
        <v>0.79655172413793107</v>
      </c>
      <c r="H27">
        <v>0.89540229885057476</v>
      </c>
      <c r="I27">
        <v>0.84252873563218389</v>
      </c>
      <c r="J27">
        <v>0.92183908045977003</v>
      </c>
      <c r="K27">
        <v>0.81609195402298851</v>
      </c>
      <c r="L27">
        <v>0.91034482758620672</v>
      </c>
      <c r="M27">
        <v>0.80804597701149428</v>
      </c>
      <c r="N27">
        <v>0.92758620689655158</v>
      </c>
      <c r="O27">
        <v>0.82528735632183903</v>
      </c>
      <c r="P27">
        <v>0.93448275862068964</v>
      </c>
      <c r="Q27">
        <v>0.81034482758620685</v>
      </c>
      <c r="R27">
        <v>0.91034482758620672</v>
      </c>
    </row>
  </sheetData>
  <mergeCells count="2">
    <mergeCell ref="A1:R1"/>
    <mergeCell ref="A15:R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0C38-1564-4C12-9238-F56690A0A2E5}">
  <dimension ref="A1:J46"/>
  <sheetViews>
    <sheetView tabSelected="1" topLeftCell="A10" workbookViewId="0">
      <selection activeCell="A31" sqref="A31"/>
    </sheetView>
  </sheetViews>
  <sheetFormatPr defaultRowHeight="15"/>
  <cols>
    <col min="2" max="2" width="10" customWidth="1"/>
    <col min="6" max="6" width="10.7109375" customWidth="1"/>
  </cols>
  <sheetData>
    <row r="1" spans="1:10">
      <c r="B1" s="6" t="s">
        <v>2</v>
      </c>
      <c r="C1" s="6"/>
      <c r="D1" s="6"/>
      <c r="E1" s="6"/>
      <c r="F1" s="6"/>
      <c r="G1" s="6"/>
      <c r="H1" s="6"/>
      <c r="I1" s="6"/>
      <c r="J1" s="6"/>
    </row>
    <row r="2" spans="1:10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</row>
    <row r="3" spans="1:10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>
      <c r="B4">
        <v>0.81379310344827582</v>
      </c>
      <c r="C4">
        <v>0.81494252873563222</v>
      </c>
      <c r="D4">
        <v>0.80114942528735633</v>
      </c>
      <c r="E4">
        <v>0.7931034482758621</v>
      </c>
      <c r="F4">
        <v>0.84022988505747132</v>
      </c>
      <c r="G4">
        <v>0.80689655172413788</v>
      </c>
      <c r="H4">
        <v>0.82183908045977017</v>
      </c>
      <c r="I4">
        <v>0.87011494252873567</v>
      </c>
      <c r="J4">
        <v>0.80804597701149428</v>
      </c>
    </row>
    <row r="5" spans="1:10">
      <c r="B5">
        <v>0.81034482758620685</v>
      </c>
      <c r="C5">
        <v>0.82068965517241377</v>
      </c>
      <c r="D5">
        <v>0.77701149425287352</v>
      </c>
      <c r="E5">
        <v>0.79770114942528736</v>
      </c>
      <c r="F5">
        <v>0.83218390804597697</v>
      </c>
      <c r="G5">
        <v>0.81264367816091954</v>
      </c>
      <c r="H5">
        <v>0.80689655172413788</v>
      </c>
      <c r="I5">
        <v>0.828735632183908</v>
      </c>
      <c r="J5">
        <v>0.79540229885057467</v>
      </c>
    </row>
    <row r="6" spans="1:10">
      <c r="B6">
        <v>0.87126436781609196</v>
      </c>
      <c r="C6">
        <v>0.85287356321839081</v>
      </c>
      <c r="D6">
        <v>0.8413793103448276</v>
      </c>
      <c r="E6">
        <v>0.84597701149425286</v>
      </c>
      <c r="F6">
        <v>0.87586206896551722</v>
      </c>
      <c r="G6">
        <v>0.86206896551724133</v>
      </c>
      <c r="H6">
        <v>0.84482758620689657</v>
      </c>
      <c r="I6">
        <v>0.87586206896551722</v>
      </c>
      <c r="J6">
        <v>0.86206896551724133</v>
      </c>
    </row>
    <row r="7" spans="1:10">
      <c r="B7">
        <v>0.92068965517241375</v>
      </c>
      <c r="C7">
        <v>0.91724137931034477</v>
      </c>
      <c r="D7">
        <v>0.91839080459770117</v>
      </c>
      <c r="E7">
        <v>0.90689655172413797</v>
      </c>
      <c r="F7">
        <v>0.92298850574712643</v>
      </c>
      <c r="G7">
        <v>0.91264367816091951</v>
      </c>
      <c r="H7">
        <v>0.9149425287356322</v>
      </c>
      <c r="I7">
        <v>0.94942528735632181</v>
      </c>
      <c r="J7">
        <v>0.92183908045977014</v>
      </c>
    </row>
    <row r="8" spans="1:10">
      <c r="B8">
        <v>0.63563218390804599</v>
      </c>
      <c r="C8">
        <v>0.68505747126436778</v>
      </c>
      <c r="D8">
        <v>0.60344827586206895</v>
      </c>
      <c r="E8">
        <v>0.62758620689655176</v>
      </c>
      <c r="F8">
        <v>0.66321839080459766</v>
      </c>
      <c r="G8">
        <v>0.6586206896551724</v>
      </c>
      <c r="H8">
        <v>0.61839080459770113</v>
      </c>
      <c r="I8">
        <v>0.64712643678160919</v>
      </c>
      <c r="J8">
        <v>0.64597701149425291</v>
      </c>
    </row>
    <row r="9" spans="1:10">
      <c r="B9">
        <v>0.87011494252873567</v>
      </c>
      <c r="C9">
        <v>0.84942528735632183</v>
      </c>
      <c r="D9">
        <v>0.83908045977011492</v>
      </c>
      <c r="E9">
        <v>0.8413793103448276</v>
      </c>
      <c r="F9">
        <v>0.88850574712643682</v>
      </c>
      <c r="G9">
        <v>0.84022988505747132</v>
      </c>
      <c r="H9">
        <v>0.85862068965517246</v>
      </c>
      <c r="I9">
        <v>0.89655172413793105</v>
      </c>
      <c r="J9">
        <v>0.83678160919540234</v>
      </c>
    </row>
    <row r="10" spans="1:10">
      <c r="B10">
        <v>0.84712643678160915</v>
      </c>
      <c r="C10">
        <v>0.84827586206896555</v>
      </c>
      <c r="D10">
        <v>0.81034482758620685</v>
      </c>
      <c r="E10">
        <v>0.83448275862068966</v>
      </c>
      <c r="F10">
        <v>0.8655172413793103</v>
      </c>
      <c r="G10">
        <v>0.84827586206896555</v>
      </c>
      <c r="H10">
        <v>0.828735632183908</v>
      </c>
      <c r="I10">
        <v>0.84942528735632183</v>
      </c>
      <c r="J10">
        <v>0.82183908045977017</v>
      </c>
    </row>
    <row r="11" spans="1:10">
      <c r="B11">
        <v>0.87241379310344824</v>
      </c>
      <c r="C11">
        <v>0.89195402298850579</v>
      </c>
      <c r="D11">
        <v>0.87126436781609196</v>
      </c>
      <c r="E11">
        <v>0.89310344827586208</v>
      </c>
      <c r="F11">
        <v>0.90344827586206899</v>
      </c>
      <c r="G11">
        <v>0.87356321839080464</v>
      </c>
      <c r="H11">
        <v>0.87586206896551722</v>
      </c>
      <c r="I11">
        <v>0.89080459770114939</v>
      </c>
      <c r="J11">
        <v>0.87931034482758619</v>
      </c>
    </row>
    <row r="12" spans="1:10">
      <c r="B12">
        <v>0.87241379310344824</v>
      </c>
      <c r="C12">
        <v>0.89080459770114939</v>
      </c>
      <c r="D12">
        <v>0.87701149425287361</v>
      </c>
      <c r="E12">
        <v>0.89080459770114939</v>
      </c>
      <c r="F12">
        <v>0.90459770114942528</v>
      </c>
      <c r="G12">
        <v>0.87011494252873567</v>
      </c>
      <c r="H12">
        <v>0.88160919540229887</v>
      </c>
      <c r="I12">
        <v>0.92183908045977014</v>
      </c>
      <c r="J12">
        <v>0.8896551724137931</v>
      </c>
    </row>
    <row r="13" spans="1:10">
      <c r="B13">
        <v>0.84022988505747132</v>
      </c>
      <c r="C13">
        <v>0.8298850574712644</v>
      </c>
      <c r="D13">
        <v>0.79655172413793107</v>
      </c>
      <c r="E13">
        <v>0.8172413793103448</v>
      </c>
      <c r="F13">
        <v>0.87011494252873567</v>
      </c>
      <c r="G13">
        <v>0.81954022988505748</v>
      </c>
      <c r="H13">
        <v>0.82643678160919543</v>
      </c>
      <c r="I13">
        <v>0.86321839080459772</v>
      </c>
      <c r="J13">
        <v>0.81954022988505748</v>
      </c>
    </row>
    <row r="14" spans="1:10">
      <c r="A14" t="s">
        <v>13</v>
      </c>
      <c r="B14">
        <f>AVERAGEA(B4:B13)</f>
        <v>0.83540229885057493</v>
      </c>
      <c r="C14">
        <f t="shared" ref="C14:I14" si="0">AVERAGEA(C4:C13)</f>
        <v>0.84011494252873553</v>
      </c>
      <c r="D14">
        <f t="shared" si="0"/>
        <v>0.8135632183908047</v>
      </c>
      <c r="E14">
        <f t="shared" si="0"/>
        <v>0.82482758620689656</v>
      </c>
      <c r="F14">
        <f t="shared" si="0"/>
        <v>0.85666666666666669</v>
      </c>
      <c r="G14">
        <f t="shared" si="0"/>
        <v>0.83045977011494254</v>
      </c>
      <c r="H14">
        <f t="shared" si="0"/>
        <v>0.82781609195402306</v>
      </c>
      <c r="I14">
        <f t="shared" si="0"/>
        <v>0.85931034482758617</v>
      </c>
      <c r="J14">
        <f>AVERAGEA(J4:J13)</f>
        <v>0.82804597701149407</v>
      </c>
    </row>
    <row r="15" spans="1:10">
      <c r="A15" t="s">
        <v>14</v>
      </c>
      <c r="B15">
        <f>_xlfn.STDEV.P(B4:B14)</f>
        <v>6.9849438208650694E-2</v>
      </c>
      <c r="C15">
        <f t="shared" ref="C15:J15" si="1">_xlfn.STDEV.P(C4:C14)</f>
        <v>5.7745323568020875E-2</v>
      </c>
      <c r="D15">
        <f t="shared" si="1"/>
        <v>7.7287516697922845E-2</v>
      </c>
      <c r="E15">
        <f t="shared" si="1"/>
        <v>7.2154084714944708E-2</v>
      </c>
      <c r="F15">
        <f t="shared" si="1"/>
        <v>6.6618095663546983E-2</v>
      </c>
      <c r="G15">
        <f t="shared" si="1"/>
        <v>6.1877583348951402E-2</v>
      </c>
      <c r="H15">
        <f t="shared" si="1"/>
        <v>7.2842604237719183E-2</v>
      </c>
      <c r="I15">
        <f t="shared" si="1"/>
        <v>7.4388332368735086E-2</v>
      </c>
      <c r="J15">
        <f t="shared" si="1"/>
        <v>6.8211130032922396E-2</v>
      </c>
    </row>
    <row r="16" spans="1:10">
      <c r="A16" t="s">
        <v>24</v>
      </c>
      <c r="B16" s="5">
        <f>B15/B14</f>
        <v>8.361173808685482E-2</v>
      </c>
      <c r="C16" s="5">
        <f t="shared" ref="C16:J16" si="2">C15/C14</f>
        <v>6.8735027369240892E-2</v>
      </c>
      <c r="D16" s="5">
        <f t="shared" si="2"/>
        <v>9.4998784299509559E-2</v>
      </c>
      <c r="E16" s="5">
        <f t="shared" si="2"/>
        <v>8.7477778291529959E-2</v>
      </c>
      <c r="F16" s="5">
        <f t="shared" si="2"/>
        <v>7.7764314004140439E-2</v>
      </c>
      <c r="G16" s="5">
        <f t="shared" si="2"/>
        <v>7.4510031160675047E-2</v>
      </c>
      <c r="H16" s="5">
        <f t="shared" si="2"/>
        <v>8.7993704091662989E-2</v>
      </c>
      <c r="I16" s="5">
        <f t="shared" si="2"/>
        <v>8.6567481488495884E-2</v>
      </c>
      <c r="J16" s="5">
        <f t="shared" si="2"/>
        <v>8.2376017668854107E-2</v>
      </c>
    </row>
    <row r="17" spans="1:10"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</row>
    <row r="19" spans="1:10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</row>
    <row r="20" spans="1:10">
      <c r="B20">
        <v>0.84022988505747132</v>
      </c>
      <c r="C20">
        <v>0.81494252873563222</v>
      </c>
      <c r="D20">
        <v>0.82643678160919543</v>
      </c>
      <c r="E20">
        <v>0.81379310344827582</v>
      </c>
      <c r="F20">
        <v>0.85517241379310349</v>
      </c>
      <c r="G20">
        <v>0.85172413793103452</v>
      </c>
      <c r="H20">
        <v>0.84712643678160915</v>
      </c>
      <c r="I20">
        <v>0.8666666666666667</v>
      </c>
      <c r="J20">
        <v>0.84367816091954018</v>
      </c>
    </row>
    <row r="21" spans="1:10">
      <c r="B21">
        <v>0.83908045977011492</v>
      </c>
      <c r="C21">
        <v>0.8655172413793103</v>
      </c>
      <c r="D21">
        <v>0.87586206896551722</v>
      </c>
      <c r="E21">
        <v>0.84942528735632183</v>
      </c>
      <c r="F21">
        <v>0.87701149425287361</v>
      </c>
      <c r="G21">
        <v>0.86781609195402298</v>
      </c>
      <c r="H21">
        <v>0.8655172413793103</v>
      </c>
      <c r="I21">
        <v>0.88505747126436785</v>
      </c>
      <c r="J21">
        <v>0.86896551724137927</v>
      </c>
    </row>
    <row r="22" spans="1:10">
      <c r="B22">
        <v>0.76206896551724135</v>
      </c>
      <c r="C22">
        <v>0.7183908045977011</v>
      </c>
      <c r="D22">
        <v>0.75862068965517238</v>
      </c>
      <c r="E22">
        <v>0.75747126436781609</v>
      </c>
      <c r="F22">
        <v>0.80574712643678159</v>
      </c>
      <c r="G22">
        <v>0.78505747126436787</v>
      </c>
      <c r="H22">
        <v>0.77816091954022992</v>
      </c>
      <c r="I22">
        <v>0.81149425287356325</v>
      </c>
      <c r="J22">
        <v>0.78620689655172415</v>
      </c>
    </row>
    <row r="23" spans="1:10">
      <c r="B23">
        <v>0.77241379310344827</v>
      </c>
      <c r="C23">
        <v>0.78275862068965518</v>
      </c>
      <c r="D23">
        <v>0.8045977011494253</v>
      </c>
      <c r="E23">
        <v>0.78275862068965518</v>
      </c>
      <c r="F23">
        <v>0.80689655172413788</v>
      </c>
      <c r="G23">
        <v>0.81149425287356325</v>
      </c>
      <c r="H23">
        <v>0.7563218390804598</v>
      </c>
      <c r="I23">
        <v>0.76436781609195403</v>
      </c>
      <c r="J23">
        <v>0.7919540229885057</v>
      </c>
    </row>
    <row r="24" spans="1:10">
      <c r="B24">
        <v>0.89080459770114939</v>
      </c>
      <c r="C24">
        <v>0.91379310344827591</v>
      </c>
      <c r="D24">
        <v>0.90804597701149425</v>
      </c>
      <c r="E24">
        <v>0.89770114942528734</v>
      </c>
      <c r="F24">
        <v>0.9149425287356322</v>
      </c>
      <c r="G24">
        <v>0.89885057471264362</v>
      </c>
      <c r="H24">
        <v>0.89310344827586208</v>
      </c>
      <c r="I24">
        <v>0.9</v>
      </c>
      <c r="J24">
        <v>0.89885057471264362</v>
      </c>
    </row>
    <row r="25" spans="1:10">
      <c r="B25">
        <v>0.90919540229885054</v>
      </c>
      <c r="C25">
        <v>0.9022988505747126</v>
      </c>
      <c r="D25">
        <v>0.91954022988505746</v>
      </c>
      <c r="E25">
        <v>0.89195402298850579</v>
      </c>
      <c r="F25">
        <v>0.91724137931034477</v>
      </c>
      <c r="G25">
        <v>0.90919540229885054</v>
      </c>
      <c r="H25">
        <v>0.9022988505747126</v>
      </c>
      <c r="I25">
        <v>0.92758620689655169</v>
      </c>
      <c r="J25">
        <v>0.91724137931034477</v>
      </c>
    </row>
    <row r="26" spans="1:10">
      <c r="B26">
        <v>0.86321839080459772</v>
      </c>
      <c r="C26">
        <v>0.86436781609195401</v>
      </c>
      <c r="D26">
        <v>0.8896551724137931</v>
      </c>
      <c r="E26">
        <v>0.86896551724137927</v>
      </c>
      <c r="F26">
        <v>0.9022988505747126</v>
      </c>
      <c r="G26">
        <v>0.88390804597701145</v>
      </c>
      <c r="H26">
        <v>0.87931034482758619</v>
      </c>
      <c r="I26">
        <v>0.91034482758620694</v>
      </c>
      <c r="J26">
        <v>0.88390804597701145</v>
      </c>
    </row>
    <row r="27" spans="1:10">
      <c r="B27">
        <v>0.94022988505747129</v>
      </c>
      <c r="C27">
        <v>0.93448275862068964</v>
      </c>
      <c r="D27">
        <v>0.93678160919540232</v>
      </c>
      <c r="E27">
        <v>0.92183908045977014</v>
      </c>
      <c r="F27">
        <v>0.95402298850574707</v>
      </c>
      <c r="G27">
        <v>0.93218390804597706</v>
      </c>
      <c r="H27">
        <v>0.94367816091954027</v>
      </c>
      <c r="I27">
        <v>0.95862068965517244</v>
      </c>
      <c r="J27">
        <v>0.94597701149425284</v>
      </c>
    </row>
    <row r="28" spans="1:10">
      <c r="B28">
        <v>0.90919540229885054</v>
      </c>
      <c r="C28">
        <v>0.90804597701149425</v>
      </c>
      <c r="D28">
        <v>0.90919540229885054</v>
      </c>
      <c r="E28">
        <v>0.88160919540229887</v>
      </c>
      <c r="F28">
        <v>0.91264367816091951</v>
      </c>
      <c r="G28">
        <v>0.90689655172413797</v>
      </c>
      <c r="H28">
        <v>0.91724137931034477</v>
      </c>
      <c r="I28">
        <v>0.92988505747126438</v>
      </c>
      <c r="J28">
        <v>0.91609195402298849</v>
      </c>
    </row>
    <row r="29" spans="1:10">
      <c r="B29">
        <v>0.80804597701149428</v>
      </c>
      <c r="C29">
        <v>0.81494252873563222</v>
      </c>
      <c r="D29">
        <v>0.83333333333333337</v>
      </c>
      <c r="E29">
        <v>0.79655172413793107</v>
      </c>
      <c r="F29">
        <v>0.84252873563218389</v>
      </c>
      <c r="G29">
        <v>0.81609195402298851</v>
      </c>
      <c r="H29">
        <v>0.80804597701149428</v>
      </c>
      <c r="I29">
        <v>0.82528735632183903</v>
      </c>
      <c r="J29">
        <v>0.81034482758620685</v>
      </c>
    </row>
    <row r="30" spans="1:10">
      <c r="A30" t="s">
        <v>13</v>
      </c>
      <c r="B30">
        <f>AVERAGEA(B20:B29)</f>
        <v>0.85344827586206884</v>
      </c>
      <c r="C30">
        <f>AVERAGEA(C20:C29)</f>
        <v>0.85195402298850575</v>
      </c>
      <c r="D30">
        <f>AVERAGEA(D20:D29)</f>
        <v>0.86620689655172411</v>
      </c>
      <c r="E30">
        <f>AVERAGEA(E20:E29)</f>
        <v>0.84620689655172399</v>
      </c>
      <c r="F30">
        <f t="shared" ref="F30:J30" si="3">AVERAGEA(F20:F29)</f>
        <v>0.87885057471264361</v>
      </c>
      <c r="G30">
        <f t="shared" si="3"/>
        <v>0.86632183908045979</v>
      </c>
      <c r="H30">
        <f t="shared" si="3"/>
        <v>0.85908045977011493</v>
      </c>
      <c r="I30">
        <f t="shared" si="3"/>
        <v>0.87793103448275855</v>
      </c>
      <c r="J30">
        <f t="shared" si="3"/>
        <v>0.86632183908045979</v>
      </c>
    </row>
    <row r="31" spans="1:10">
      <c r="A31" t="s">
        <v>14</v>
      </c>
      <c r="B31">
        <f>_xlfn.STDEV.P(B20:B29)</f>
        <v>5.7093586613980937E-2</v>
      </c>
      <c r="C31">
        <f t="shared" ref="C31:J31" si="4">_xlfn.STDEV.P(C20:C29)</f>
        <v>6.482351010255552E-2</v>
      </c>
      <c r="D31">
        <f t="shared" si="4"/>
        <v>5.4863117718771275E-2</v>
      </c>
      <c r="E31">
        <f t="shared" si="4"/>
        <v>5.2594968179138266E-2</v>
      </c>
      <c r="F31">
        <f t="shared" si="4"/>
        <v>4.7459434667530054E-2</v>
      </c>
      <c r="G31">
        <f t="shared" si="4"/>
        <v>4.6409033475846483E-2</v>
      </c>
      <c r="H31">
        <f t="shared" si="4"/>
        <v>5.8198161716812628E-2</v>
      </c>
      <c r="I31">
        <f t="shared" si="4"/>
        <v>5.7855725543809022E-2</v>
      </c>
      <c r="J31">
        <f t="shared" si="4"/>
        <v>5.3276947006274861E-2</v>
      </c>
    </row>
    <row r="32" spans="1:10">
      <c r="A32" t="s">
        <v>24</v>
      </c>
      <c r="B32" s="5">
        <f>B31/B30</f>
        <v>6.689753583052313E-2</v>
      </c>
      <c r="C32" s="5">
        <f t="shared" ref="C32:J32" si="5">C31/C30</f>
        <v>7.6088038031871696E-2</v>
      </c>
      <c r="D32" s="5">
        <f t="shared" si="5"/>
        <v>6.3337198003358561E-2</v>
      </c>
      <c r="E32" s="5">
        <f t="shared" si="5"/>
        <v>6.2153792876732269E-2</v>
      </c>
      <c r="F32" s="5">
        <f t="shared" si="5"/>
        <v>5.4001710908646548E-2</v>
      </c>
      <c r="G32" s="5">
        <f t="shared" si="5"/>
        <v>5.3570199182680696E-2</v>
      </c>
      <c r="H32" s="5">
        <f t="shared" si="5"/>
        <v>6.7744715940094985E-2</v>
      </c>
      <c r="I32" s="5">
        <f t="shared" si="5"/>
        <v>6.5900080155949003E-2</v>
      </c>
      <c r="J32" s="5">
        <f t="shared" si="5"/>
        <v>6.1497869040014766E-2</v>
      </c>
    </row>
    <row r="37" spans="2:8"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21</v>
      </c>
    </row>
    <row r="38" spans="2:8">
      <c r="B38" t="s">
        <v>4</v>
      </c>
      <c r="C38">
        <v>0.69287448044953603</v>
      </c>
      <c r="D38">
        <v>4.0742215464914799E-3</v>
      </c>
      <c r="E38" t="b">
        <v>0</v>
      </c>
      <c r="F38" t="s">
        <v>22</v>
      </c>
      <c r="G38">
        <v>51.5</v>
      </c>
      <c r="H38">
        <v>0.469837522571873</v>
      </c>
    </row>
    <row r="39" spans="2:8">
      <c r="B39" t="s">
        <v>5</v>
      </c>
      <c r="C39">
        <v>0.45962611609640702</v>
      </c>
      <c r="D39">
        <v>5.6092184014128903E-2</v>
      </c>
      <c r="E39" s="7" t="b">
        <v>1</v>
      </c>
      <c r="F39" t="s">
        <v>23</v>
      </c>
      <c r="G39">
        <v>0.40035950840193002</v>
      </c>
      <c r="H39">
        <v>0.346812507180144</v>
      </c>
    </row>
    <row r="40" spans="2:8">
      <c r="B40" t="s">
        <v>6</v>
      </c>
      <c r="C40">
        <v>0.46813744203499003</v>
      </c>
      <c r="D40">
        <v>5.12290629621905E-2</v>
      </c>
      <c r="E40" s="7" t="b">
        <v>1</v>
      </c>
      <c r="F40" t="s">
        <v>23</v>
      </c>
      <c r="G40">
        <v>1.61350313132348</v>
      </c>
      <c r="H40" s="7">
        <v>6.3203695969463194E-2</v>
      </c>
    </row>
    <row r="41" spans="2:8">
      <c r="B41" t="s">
        <v>7</v>
      </c>
      <c r="C41">
        <v>0.60869587180485196</v>
      </c>
      <c r="D41">
        <v>2.6435304353825999E-2</v>
      </c>
      <c r="E41" t="b">
        <v>0</v>
      </c>
      <c r="F41" t="s">
        <v>22</v>
      </c>
      <c r="G41">
        <v>55</v>
      </c>
      <c r="H41">
        <v>0.36686499784812399</v>
      </c>
    </row>
    <row r="42" spans="2:8">
      <c r="B42" t="s">
        <v>8</v>
      </c>
      <c r="C42">
        <v>0.477460489120141</v>
      </c>
      <c r="D42">
        <v>2.36280724463447E-3</v>
      </c>
      <c r="E42" t="b">
        <v>0</v>
      </c>
      <c r="F42" t="s">
        <v>22</v>
      </c>
      <c r="G42">
        <v>58</v>
      </c>
      <c r="H42">
        <v>0.28537519402908701</v>
      </c>
    </row>
    <row r="43" spans="2:8">
      <c r="B43" t="s">
        <v>9</v>
      </c>
      <c r="C43">
        <v>0.57642384539202296</v>
      </c>
      <c r="D43">
        <v>2.3499988872223401E-2</v>
      </c>
      <c r="E43" t="b">
        <v>0</v>
      </c>
      <c r="F43" t="s">
        <v>22</v>
      </c>
      <c r="G43">
        <v>65</v>
      </c>
      <c r="H43">
        <v>0.13651816987559401</v>
      </c>
    </row>
    <row r="44" spans="2:8">
      <c r="B44" t="s">
        <v>10</v>
      </c>
      <c r="C44">
        <v>0.70179866856960504</v>
      </c>
      <c r="D44">
        <v>4.9961036130417198E-3</v>
      </c>
      <c r="E44" t="b">
        <v>0</v>
      </c>
      <c r="F44" t="s">
        <v>22</v>
      </c>
      <c r="G44">
        <v>63</v>
      </c>
      <c r="H44">
        <v>0.172352111003479</v>
      </c>
    </row>
    <row r="45" spans="2:8">
      <c r="B45" t="s">
        <v>11</v>
      </c>
      <c r="C45">
        <v>0.66338428338757105</v>
      </c>
      <c r="D45">
        <v>8.0900276692702708E-3</v>
      </c>
      <c r="E45" t="b">
        <v>0</v>
      </c>
      <c r="F45" t="s">
        <v>22</v>
      </c>
      <c r="G45">
        <v>57</v>
      </c>
      <c r="H45">
        <v>0.31158811194105901</v>
      </c>
    </row>
    <row r="46" spans="2:8">
      <c r="B46" t="s">
        <v>12</v>
      </c>
      <c r="C46">
        <v>0.50000247216988203</v>
      </c>
      <c r="D46">
        <v>8.6646754918081104E-2</v>
      </c>
      <c r="E46" s="7" t="b">
        <v>1</v>
      </c>
      <c r="F46" t="s">
        <v>23</v>
      </c>
      <c r="G46">
        <v>1.2873187595187501</v>
      </c>
      <c r="H46" s="7">
        <v>0.10780366957911799</v>
      </c>
    </row>
  </sheetData>
  <mergeCells count="1"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CCE6-97D3-4919-89D5-55544FD472F7}">
  <dimension ref="A1:J44"/>
  <sheetViews>
    <sheetView topLeftCell="A13" workbookViewId="0">
      <selection activeCell="H43" sqref="H43:H44"/>
    </sheetView>
  </sheetViews>
  <sheetFormatPr defaultRowHeight="15"/>
  <cols>
    <col min="6" max="6" width="14.28515625" customWidth="1"/>
  </cols>
  <sheetData>
    <row r="1" spans="1:10">
      <c r="B1" s="1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B2">
        <v>0.91034482758620672</v>
      </c>
      <c r="C2">
        <v>0.87931034482758619</v>
      </c>
      <c r="D2">
        <v>0.89770114942528734</v>
      </c>
      <c r="E2">
        <v>0.92183908045977003</v>
      </c>
      <c r="F2">
        <v>0.91724137931034477</v>
      </c>
      <c r="G2">
        <v>0.92528735632183912</v>
      </c>
      <c r="H2">
        <v>0.92298850574712643</v>
      </c>
      <c r="I2">
        <v>0.91724137931034477</v>
      </c>
      <c r="J2">
        <v>0.90689655172413786</v>
      </c>
    </row>
    <row r="3" spans="1:10">
      <c r="B3">
        <v>0.8999999999999998</v>
      </c>
      <c r="C3">
        <v>0.8885057471264366</v>
      </c>
      <c r="D3">
        <v>0.88735632183908031</v>
      </c>
      <c r="E3">
        <v>0.9022988505747126</v>
      </c>
      <c r="F3">
        <v>0.90919540229885054</v>
      </c>
      <c r="G3">
        <v>0.92068965517241375</v>
      </c>
      <c r="H3">
        <v>0.89770114942528734</v>
      </c>
      <c r="I3">
        <v>0.89655172413793105</v>
      </c>
      <c r="J3">
        <v>0.88275862068965494</v>
      </c>
    </row>
    <row r="4" spans="1:10">
      <c r="B4">
        <v>0.91724137931034477</v>
      </c>
      <c r="C4">
        <v>0.88965517241379322</v>
      </c>
      <c r="D4">
        <v>0.90114942528735642</v>
      </c>
      <c r="E4">
        <v>0.92413793103448283</v>
      </c>
      <c r="F4">
        <v>0.92183908045977003</v>
      </c>
      <c r="G4">
        <v>0.93678160919540232</v>
      </c>
      <c r="H4">
        <v>0.92643678160919529</v>
      </c>
      <c r="I4">
        <v>0.91839080459770106</v>
      </c>
      <c r="J4">
        <v>0.91149425287356323</v>
      </c>
    </row>
    <row r="5" spans="1:10">
      <c r="B5">
        <v>0.95632183908045976</v>
      </c>
      <c r="C5">
        <v>0.93448275862068975</v>
      </c>
      <c r="D5">
        <v>0.94597701149425284</v>
      </c>
      <c r="E5">
        <v>0.94367816091954015</v>
      </c>
      <c r="F5">
        <v>0.95747126436781604</v>
      </c>
      <c r="G5">
        <v>0.9517241379310345</v>
      </c>
      <c r="H5">
        <v>0.94482758620689655</v>
      </c>
      <c r="I5">
        <v>0.96091954022988502</v>
      </c>
      <c r="J5">
        <v>0.94712643678160913</v>
      </c>
    </row>
    <row r="6" spans="1:10">
      <c r="B6">
        <v>0.83103448275862046</v>
      </c>
      <c r="C6">
        <v>0.83793103448275852</v>
      </c>
      <c r="D6">
        <v>0.84482758620689635</v>
      </c>
      <c r="E6">
        <v>0.85862068965517224</v>
      </c>
      <c r="F6">
        <v>0.84367816091954029</v>
      </c>
      <c r="G6">
        <v>0.87471264367816082</v>
      </c>
      <c r="H6">
        <v>0.87011494252873545</v>
      </c>
      <c r="I6">
        <v>0.83678160919540212</v>
      </c>
      <c r="J6">
        <v>0.84942528735632195</v>
      </c>
    </row>
    <row r="7" spans="1:10">
      <c r="B7">
        <v>0.91494252873563209</v>
      </c>
      <c r="C7">
        <v>0.88965517241379322</v>
      </c>
      <c r="D7">
        <v>0.9022988505747126</v>
      </c>
      <c r="E7">
        <v>0.911494252873563</v>
      </c>
      <c r="F7">
        <v>0.94022988505747118</v>
      </c>
      <c r="G7">
        <v>0.93908045977011501</v>
      </c>
      <c r="H7">
        <v>0.94137931034482747</v>
      </c>
      <c r="I7">
        <v>0.93218390804597695</v>
      </c>
      <c r="J7">
        <v>0.90804597701149425</v>
      </c>
    </row>
    <row r="8" spans="1:10">
      <c r="B8">
        <v>0.91379310344827591</v>
      </c>
      <c r="C8">
        <v>0.89655172413793083</v>
      </c>
      <c r="D8">
        <v>0.88620689655172402</v>
      </c>
      <c r="E8">
        <v>0.91264367816091962</v>
      </c>
      <c r="F8">
        <v>0.93103448275862066</v>
      </c>
      <c r="G8">
        <v>0.93793103448275861</v>
      </c>
      <c r="H8">
        <v>0.92068965517241375</v>
      </c>
      <c r="I8">
        <v>0.8999999999999998</v>
      </c>
      <c r="J8">
        <v>0.90459770114942517</v>
      </c>
    </row>
    <row r="9" spans="1:10">
      <c r="B9">
        <v>0.93448275862068964</v>
      </c>
      <c r="C9">
        <v>0.91494252873563209</v>
      </c>
      <c r="D9">
        <v>0.92183908045977003</v>
      </c>
      <c r="E9">
        <v>0.93908045977011478</v>
      </c>
      <c r="F9">
        <v>0.95172413793103461</v>
      </c>
      <c r="G9">
        <v>0.94712643678160913</v>
      </c>
      <c r="H9">
        <v>0.92873563218390787</v>
      </c>
      <c r="I9">
        <v>0.92068965517241375</v>
      </c>
      <c r="J9">
        <v>0.92873563218390798</v>
      </c>
    </row>
    <row r="10" spans="1:10">
      <c r="B10">
        <v>0.92758620689655158</v>
      </c>
      <c r="C10">
        <v>0.91379310344827569</v>
      </c>
      <c r="D10">
        <v>0.91954022988505746</v>
      </c>
      <c r="E10">
        <v>0.93218390804597695</v>
      </c>
      <c r="F10">
        <v>0.94022988505747118</v>
      </c>
      <c r="G10">
        <v>0.92873563218390787</v>
      </c>
      <c r="H10">
        <v>0.92873563218390798</v>
      </c>
      <c r="I10">
        <v>0.93563218390804592</v>
      </c>
      <c r="J10">
        <v>0.91609195402298849</v>
      </c>
    </row>
    <row r="11" spans="1:10">
      <c r="B11">
        <v>0.91839080459770117</v>
      </c>
      <c r="C11">
        <v>0.88045977011494247</v>
      </c>
      <c r="D11">
        <v>0.89195402298850568</v>
      </c>
      <c r="E11">
        <v>0.90919540229885054</v>
      </c>
      <c r="F11">
        <v>0.92413793103448261</v>
      </c>
      <c r="G11">
        <v>0.93333333333333324</v>
      </c>
      <c r="H11">
        <v>0.91839080459770117</v>
      </c>
      <c r="I11">
        <v>0.91379310344827591</v>
      </c>
      <c r="J11">
        <v>0.90804597701149425</v>
      </c>
    </row>
    <row r="12" spans="1:10">
      <c r="A12" t="s">
        <v>13</v>
      </c>
      <c r="B12">
        <f>AVERAGEA(B2:B11)</f>
        <v>0.91241379310344806</v>
      </c>
      <c r="C12">
        <f t="shared" ref="C12:J12" si="0">AVERAGEA(C2:C11)</f>
        <v>0.89252873563218382</v>
      </c>
      <c r="D12">
        <f t="shared" si="0"/>
        <v>0.89988505747126424</v>
      </c>
      <c r="E12">
        <f t="shared" si="0"/>
        <v>0.91551724137931034</v>
      </c>
      <c r="F12">
        <f t="shared" si="0"/>
        <v>0.92367816091954025</v>
      </c>
      <c r="G12">
        <f t="shared" si="0"/>
        <v>0.92954022988505758</v>
      </c>
      <c r="H12">
        <f t="shared" si="0"/>
        <v>0.91999999999999993</v>
      </c>
      <c r="I12">
        <f t="shared" si="0"/>
        <v>0.91321839080459755</v>
      </c>
      <c r="J12">
        <f t="shared" si="0"/>
        <v>0.90632183908045971</v>
      </c>
    </row>
    <row r="13" spans="1:10">
      <c r="A13" t="s">
        <v>14</v>
      </c>
      <c r="B13">
        <f>_xlfn.STDEV.P(B2:B11)</f>
        <v>3.0811459177501679E-2</v>
      </c>
      <c r="C13">
        <f>_xlfn.STDEV.P(C2:C11)</f>
        <v>2.4626956498760913E-2</v>
      </c>
      <c r="D13">
        <f t="shared" ref="D13:J13" si="1">_xlfn.STDEV.P(D2:D11)</f>
        <v>2.5383568275170406E-2</v>
      </c>
      <c r="E13">
        <f t="shared" si="1"/>
        <v>2.2840037812050865E-2</v>
      </c>
      <c r="F13">
        <f t="shared" si="1"/>
        <v>3.0307361056874184E-2</v>
      </c>
      <c r="G13">
        <f t="shared" si="1"/>
        <v>2.0329236184291416E-2</v>
      </c>
      <c r="H13">
        <f t="shared" si="1"/>
        <v>2.06525849254659E-2</v>
      </c>
      <c r="I13">
        <f t="shared" si="1"/>
        <v>3.0873357810359086E-2</v>
      </c>
      <c r="J13">
        <f t="shared" si="1"/>
        <v>2.468054584838611E-2</v>
      </c>
    </row>
    <row r="14" spans="1:10">
      <c r="A14" t="s">
        <v>24</v>
      </c>
      <c r="B14" s="4">
        <f>B13/B12</f>
        <v>3.3769172945863526E-2</v>
      </c>
      <c r="C14" s="4">
        <f>C13/C12</f>
        <v>2.7592340185347064E-2</v>
      </c>
      <c r="D14" s="4">
        <f t="shared" ref="D14:J14" si="2">D13/D12</f>
        <v>2.8207567249199459E-2</v>
      </c>
      <c r="E14" s="4">
        <f t="shared" si="2"/>
        <v>2.4947687252334278E-2</v>
      </c>
      <c r="F14" s="4">
        <f t="shared" si="2"/>
        <v>3.2811602936138051E-2</v>
      </c>
      <c r="G14" s="4">
        <f t="shared" si="2"/>
        <v>2.1870205861671238E-2</v>
      </c>
      <c r="H14" s="4">
        <f t="shared" si="2"/>
        <v>2.2448461875506413E-2</v>
      </c>
      <c r="I14" s="4">
        <f t="shared" si="2"/>
        <v>3.380720112651027E-2</v>
      </c>
      <c r="J14" s="4">
        <f t="shared" si="2"/>
        <v>2.7231547099677764E-2</v>
      </c>
    </row>
    <row r="16" spans="1:10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>
      <c r="B17">
        <v>0.9011494252873562</v>
      </c>
      <c r="C17">
        <v>0.87356321839080464</v>
      </c>
      <c r="D17">
        <v>0.88160919540229876</v>
      </c>
      <c r="E17">
        <v>0.88850574712643671</v>
      </c>
      <c r="F17">
        <v>0.91379310344827591</v>
      </c>
      <c r="G17">
        <v>0.9126436781609194</v>
      </c>
      <c r="H17">
        <v>0.92183908045977003</v>
      </c>
      <c r="I17">
        <v>0.92643678160919529</v>
      </c>
      <c r="J17">
        <v>0.90574712643678146</v>
      </c>
    </row>
    <row r="18" spans="1:10">
      <c r="B18">
        <v>0.91149425287356323</v>
      </c>
      <c r="C18">
        <v>0.8999999999999998</v>
      </c>
      <c r="D18">
        <v>0.93333333333333324</v>
      </c>
      <c r="E18">
        <v>0.90919540229885054</v>
      </c>
      <c r="F18">
        <v>0.93103448275862066</v>
      </c>
      <c r="G18">
        <v>0.92298850574712643</v>
      </c>
      <c r="H18">
        <v>0.93218390804597695</v>
      </c>
      <c r="I18">
        <v>0.92643678160919529</v>
      </c>
      <c r="J18">
        <v>0.91954022988505735</v>
      </c>
    </row>
    <row r="19" spans="1:10">
      <c r="B19">
        <v>0.88160919540229876</v>
      </c>
      <c r="C19">
        <v>0.84712643678160904</v>
      </c>
      <c r="D19">
        <v>0.8643678160919539</v>
      </c>
      <c r="E19">
        <v>0.89195402298850568</v>
      </c>
      <c r="F19">
        <v>0.89080459770114939</v>
      </c>
      <c r="G19">
        <v>0.90574712643678157</v>
      </c>
      <c r="H19">
        <v>0.89425287356321814</v>
      </c>
      <c r="I19">
        <v>0.89655172413793105</v>
      </c>
      <c r="J19">
        <v>0.88505747126436785</v>
      </c>
    </row>
    <row r="20" spans="1:10">
      <c r="B20">
        <v>0.88275862068965516</v>
      </c>
      <c r="C20">
        <v>0.86551724137931019</v>
      </c>
      <c r="D20">
        <v>0.88390804597701145</v>
      </c>
      <c r="E20">
        <v>0.88620689655172402</v>
      </c>
      <c r="F20">
        <v>0.89540229885057465</v>
      </c>
      <c r="G20">
        <v>0.90459770114942528</v>
      </c>
      <c r="H20">
        <v>0.89425287356321814</v>
      </c>
      <c r="I20">
        <v>0.90344827586206888</v>
      </c>
      <c r="J20">
        <v>0.89885057471264351</v>
      </c>
    </row>
    <row r="21" spans="1:10">
      <c r="B21">
        <v>0.92528735632183912</v>
      </c>
      <c r="C21">
        <v>0.92643678160919529</v>
      </c>
      <c r="D21">
        <v>0.94137931034482747</v>
      </c>
      <c r="E21">
        <v>0.92873563218390787</v>
      </c>
      <c r="F21">
        <v>0.92643678160919529</v>
      </c>
      <c r="G21">
        <v>0.94252873563218387</v>
      </c>
      <c r="H21">
        <v>0.93103448275862066</v>
      </c>
      <c r="I21">
        <v>0.92758620689655158</v>
      </c>
      <c r="J21">
        <v>0.93333333333333335</v>
      </c>
    </row>
    <row r="22" spans="1:10">
      <c r="B22">
        <v>0.9275862068965518</v>
      </c>
      <c r="C22">
        <v>0.92413793103448283</v>
      </c>
      <c r="D22">
        <v>0.93793103448275861</v>
      </c>
      <c r="E22">
        <v>0.92643678160919529</v>
      </c>
      <c r="F22">
        <v>0.93678160919540232</v>
      </c>
      <c r="G22">
        <v>0.9402298850574714</v>
      </c>
      <c r="H22">
        <v>0.93678160919540232</v>
      </c>
      <c r="I22">
        <v>0.94022988505747107</v>
      </c>
      <c r="J22">
        <v>0.94482758620689644</v>
      </c>
    </row>
    <row r="23" spans="1:10">
      <c r="B23">
        <v>0.92068965517241375</v>
      </c>
      <c r="C23">
        <v>0.90919540229885054</v>
      </c>
      <c r="D23">
        <v>0.93563218390804603</v>
      </c>
      <c r="E23">
        <v>0.92873563218390787</v>
      </c>
      <c r="F23">
        <v>0.94137931034482747</v>
      </c>
      <c r="G23">
        <v>0.93908045977011478</v>
      </c>
      <c r="H23">
        <v>0.93563218390804592</v>
      </c>
      <c r="I23">
        <v>0.95057471264367799</v>
      </c>
      <c r="J23">
        <v>0.92758620689655158</v>
      </c>
    </row>
    <row r="24" spans="1:10">
      <c r="B24">
        <v>0.95747126436781604</v>
      </c>
      <c r="C24">
        <v>0.94022988505747118</v>
      </c>
      <c r="D24">
        <v>0.95172413793103461</v>
      </c>
      <c r="E24">
        <v>0.95057471264367799</v>
      </c>
      <c r="F24">
        <v>0.96091954022988502</v>
      </c>
      <c r="G24">
        <v>0.95747126436781604</v>
      </c>
      <c r="H24">
        <v>0.95977011494252873</v>
      </c>
      <c r="I24">
        <v>0.96206896551724141</v>
      </c>
      <c r="J24">
        <v>0.96091954022988502</v>
      </c>
    </row>
    <row r="25" spans="1:10">
      <c r="B25">
        <v>0.93333333333333324</v>
      </c>
      <c r="C25">
        <v>0.92413793103448283</v>
      </c>
      <c r="D25">
        <v>0.92988505747126426</v>
      </c>
      <c r="E25">
        <v>0.92528735632183912</v>
      </c>
      <c r="F25">
        <v>0.93678160919540232</v>
      </c>
      <c r="G25">
        <v>0.94252873563218387</v>
      </c>
      <c r="H25">
        <v>0.94942528735632181</v>
      </c>
      <c r="I25">
        <v>0.94252873563218387</v>
      </c>
      <c r="J25">
        <v>0.93908045977011478</v>
      </c>
    </row>
    <row r="26" spans="1:10">
      <c r="B26">
        <v>0.89540229885057476</v>
      </c>
      <c r="C26">
        <v>0.88505747126436785</v>
      </c>
      <c r="D26">
        <v>0.9</v>
      </c>
      <c r="E26">
        <v>0.89540229885057476</v>
      </c>
      <c r="F26">
        <v>0.92183908045977003</v>
      </c>
      <c r="G26">
        <v>0.91034482758620672</v>
      </c>
      <c r="H26">
        <v>0.92758620689655158</v>
      </c>
      <c r="I26">
        <v>0.93448275862068964</v>
      </c>
      <c r="J26">
        <v>0.91034482758620672</v>
      </c>
    </row>
    <row r="27" spans="1:10">
      <c r="A27" t="s">
        <v>13</v>
      </c>
      <c r="B27">
        <f>AVERAGEA(B17:B26)</f>
        <v>0.91367816091954024</v>
      </c>
      <c r="C27">
        <f t="shared" ref="C27:J27" si="3">AVERAGEA(C17:C26)</f>
        <v>0.89954022988505744</v>
      </c>
      <c r="D27">
        <f t="shared" si="3"/>
        <v>0.91597701149425281</v>
      </c>
      <c r="E27">
        <f t="shared" si="3"/>
        <v>0.91310344827586187</v>
      </c>
      <c r="F27">
        <f t="shared" si="3"/>
        <v>0.92551724137931046</v>
      </c>
      <c r="G27">
        <f t="shared" si="3"/>
        <v>0.92781609195402281</v>
      </c>
      <c r="H27">
        <f t="shared" si="3"/>
        <v>0.92827586206896551</v>
      </c>
      <c r="I27">
        <f t="shared" si="3"/>
        <v>0.93103448275862066</v>
      </c>
      <c r="J27">
        <f t="shared" si="3"/>
        <v>0.92252873563218374</v>
      </c>
    </row>
    <row r="28" spans="1:10">
      <c r="A28" t="s">
        <v>14</v>
      </c>
      <c r="B28">
        <f>_xlfn.STDEV.P(B17:B26)</f>
        <v>2.2719401944867771E-2</v>
      </c>
      <c r="C28">
        <f t="shared" ref="C28:J28" si="4">_xlfn.STDEV.P(C17:C26)</f>
        <v>2.9106571349201742E-2</v>
      </c>
      <c r="D28">
        <f>_xlfn.STDEV.P(D17:D26)</f>
        <v>2.900767776416082E-2</v>
      </c>
      <c r="E28">
        <f t="shared" si="4"/>
        <v>2.0792846112663875E-2</v>
      </c>
      <c r="F28">
        <f t="shared" si="4"/>
        <v>2.0131684330051886E-2</v>
      </c>
      <c r="G28">
        <f t="shared" si="4"/>
        <v>1.7827582501463282E-2</v>
      </c>
      <c r="H28">
        <f t="shared" si="4"/>
        <v>1.9863452484807392E-2</v>
      </c>
      <c r="I28">
        <f t="shared" si="4"/>
        <v>1.8914944763884327E-2</v>
      </c>
      <c r="J28">
        <f t="shared" si="4"/>
        <v>2.1888631022837043E-2</v>
      </c>
    </row>
    <row r="29" spans="1:10">
      <c r="A29" t="s">
        <v>24</v>
      </c>
      <c r="B29" s="4">
        <f>B28/B27</f>
        <v>2.4865869533318607E-2</v>
      </c>
      <c r="C29" s="4">
        <f t="shared" ref="C29:J29" si="5">C28/C27</f>
        <v>3.2357164673914536E-2</v>
      </c>
      <c r="D29" s="4">
        <f t="shared" si="5"/>
        <v>3.1668565258903145E-2</v>
      </c>
      <c r="E29" s="4">
        <f t="shared" si="5"/>
        <v>2.2771621498008026E-2</v>
      </c>
      <c r="F29" s="4">
        <f t="shared" si="5"/>
        <v>2.1751819879713287E-2</v>
      </c>
      <c r="G29" s="4">
        <f t="shared" si="5"/>
        <v>1.9214564886364048E-2</v>
      </c>
      <c r="H29" s="4">
        <f t="shared" si="5"/>
        <v>2.1398221473232334E-2</v>
      </c>
      <c r="I29" s="4">
        <f t="shared" si="5"/>
        <v>2.0316051783431315E-2</v>
      </c>
      <c r="J29" s="4">
        <f t="shared" si="5"/>
        <v>2.3726774221116659E-2</v>
      </c>
    </row>
    <row r="35" spans="2:8"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</row>
    <row r="36" spans="2:8">
      <c r="B36" t="s">
        <v>4</v>
      </c>
      <c r="C36">
        <v>0.78537173842438701</v>
      </c>
      <c r="D36">
        <v>1.8065520694991101E-2</v>
      </c>
      <c r="E36" t="b">
        <v>0</v>
      </c>
      <c r="F36" t="s">
        <v>22</v>
      </c>
      <c r="G36">
        <v>48</v>
      </c>
      <c r="H36">
        <v>0.57494663043073702</v>
      </c>
    </row>
    <row r="37" spans="2:8">
      <c r="B37" t="s">
        <v>5</v>
      </c>
      <c r="C37">
        <v>0.60678906076111505</v>
      </c>
      <c r="D37">
        <v>0.48439005471451102</v>
      </c>
      <c r="E37" s="7" t="b">
        <v>1</v>
      </c>
      <c r="F37" t="s">
        <v>23</v>
      </c>
      <c r="G37">
        <v>0.55169304219605397</v>
      </c>
      <c r="H37">
        <v>0.29406363913008998</v>
      </c>
    </row>
    <row r="38" spans="2:8">
      <c r="B38" t="s">
        <v>6</v>
      </c>
      <c r="C38">
        <v>0.118547199148218</v>
      </c>
      <c r="D38">
        <v>0.61792090798643295</v>
      </c>
      <c r="E38" s="7" t="b">
        <v>1</v>
      </c>
      <c r="F38" t="s">
        <v>23</v>
      </c>
      <c r="G38">
        <v>1.25243187650771</v>
      </c>
      <c r="H38">
        <v>0.11335948569238601</v>
      </c>
    </row>
    <row r="39" spans="2:8">
      <c r="B39" t="s">
        <v>7</v>
      </c>
      <c r="C39">
        <v>0.23984975332317501</v>
      </c>
      <c r="D39">
        <v>0.12986666803893501</v>
      </c>
      <c r="E39" s="7" t="b">
        <v>1</v>
      </c>
      <c r="F39" t="s">
        <v>23</v>
      </c>
      <c r="G39">
        <v>-0.234447110283729</v>
      </c>
      <c r="H39">
        <v>0.59134650581551695</v>
      </c>
    </row>
    <row r="40" spans="2:8">
      <c r="B40" t="s">
        <v>8</v>
      </c>
      <c r="C40">
        <v>0.75819536500156703</v>
      </c>
      <c r="D40">
        <v>2.4692425804877099E-2</v>
      </c>
      <c r="E40" t="b">
        <v>0</v>
      </c>
      <c r="F40" t="s">
        <v>22</v>
      </c>
      <c r="G40">
        <v>48</v>
      </c>
      <c r="H40">
        <v>0.57505824564995001</v>
      </c>
    </row>
    <row r="41" spans="2:8">
      <c r="B41" t="s">
        <v>9</v>
      </c>
      <c r="C41">
        <v>0.198190475544709</v>
      </c>
      <c r="D41">
        <v>1.06573961544841E-2</v>
      </c>
      <c r="E41" t="b">
        <v>0</v>
      </c>
      <c r="F41" t="s">
        <v>22</v>
      </c>
      <c r="G41">
        <v>47</v>
      </c>
      <c r="H41">
        <v>0.60436994679841105</v>
      </c>
    </row>
    <row r="42" spans="2:8">
      <c r="B42" t="s">
        <v>10</v>
      </c>
      <c r="C42">
        <v>0.29261387833995101</v>
      </c>
      <c r="D42">
        <v>7.6952373487546397E-2</v>
      </c>
      <c r="E42" s="7" t="b">
        <v>1</v>
      </c>
      <c r="F42" t="s">
        <v>23</v>
      </c>
      <c r="G42">
        <v>0.86644334956610103</v>
      </c>
      <c r="H42">
        <v>0.19883346435413901</v>
      </c>
    </row>
    <row r="43" spans="2:8">
      <c r="B43" t="s">
        <v>11</v>
      </c>
      <c r="C43">
        <v>0.74991973493797204</v>
      </c>
      <c r="D43">
        <v>0.15055663082061399</v>
      </c>
      <c r="E43" s="7" t="b">
        <v>1</v>
      </c>
      <c r="F43" t="s">
        <v>23</v>
      </c>
      <c r="G43">
        <v>1.4761904761904701</v>
      </c>
      <c r="H43" s="7">
        <v>8.0341299790467294E-2</v>
      </c>
    </row>
    <row r="44" spans="2:8">
      <c r="B44" t="s">
        <v>12</v>
      </c>
      <c r="C44">
        <v>0.99862491707904899</v>
      </c>
      <c r="D44">
        <v>0.242262971308604</v>
      </c>
      <c r="E44" s="7" t="b">
        <v>1</v>
      </c>
      <c r="F44" t="s">
        <v>23</v>
      </c>
      <c r="G44">
        <v>1.4738675958188201</v>
      </c>
      <c r="H44" s="7">
        <v>7.9017388842779201E-2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Accuracy</vt:lpstr>
      <vt:lpstr>Consistency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Aijia</dc:creator>
  <cp:lastModifiedBy>Zhou, Aijia</cp:lastModifiedBy>
  <dcterms:created xsi:type="dcterms:W3CDTF">2015-06-05T18:17:20Z</dcterms:created>
  <dcterms:modified xsi:type="dcterms:W3CDTF">2025-11-12T21:59:44Z</dcterms:modified>
</cp:coreProperties>
</file>